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DAY'S MOVE" sheetId="1" state="visible" r:id="rId3"/>
    <sheet name="ENGINE" sheetId="2" state="visible" r:id="rId4"/>
    <sheet name="DISCOVE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<sst xmlns="http://schemas.openxmlformats.org/spreadsheetml/2006/main" count="94" uniqueCount="83">
  <si>
    <t xml:space="preserve">LeVrage  ────▲─────</t>
  </si>
  <si>
    <t xml:space="preserve">TODAY'S MOVE</t>
  </si>
  <si>
    <t xml:space="preserve">IMPACT DETAIL</t>
  </si>
  <si>
    <t xml:space="preserve">Account</t>
  </si>
  <si>
    <t xml:space="preserve">Current Utilization</t>
  </si>
  <si>
    <t xml:space="preserve">After This Payment</t>
  </si>
  <si>
    <t xml:space="preserve">PORTFOLIO SNAPSHOT</t>
  </si>
  <si>
    <t xml:space="preserve">Total Revolving Utilization</t>
  </si>
  <si>
    <t xml:space="preserve">Accounts Above 50% Utilization</t>
  </si>
  <si>
    <t xml:space="preserve">Cash Available</t>
  </si>
  <si>
    <t xml:space="preserve">DATA CONFIDENCE</t>
  </si>
  <si>
    <t xml:space="preserve">LeVrage output is based only on data provided. Unknown derogatories, reporting errors, collection accounts, or payment timing issues not entered above may affect actual score movement. The more complete your input, the more accurate the output.</t>
  </si>
  <si>
    <t xml:space="preserve">LeVrage  ────▲─────      DECISION ENGINE  v1</t>
  </si>
  <si>
    <t xml:space="preserve">Cash Available to Deploy</t>
  </si>
  <si>
    <t xml:space="preserve">← Change this to your actual available cash before reading the output</t>
  </si>
  <si>
    <t xml:space="preserve">Account Name</t>
  </si>
  <si>
    <t xml:space="preserve">Balance</t>
  </si>
  <si>
    <t xml:space="preserve">Credit Limit</t>
  </si>
  <si>
    <t xml:space="preserve">Utilization
%</t>
  </si>
  <si>
    <t xml:space="preserve">Target
%</t>
  </si>
  <si>
    <t xml:space="preserve">Paydown
Needed</t>
  </si>
  <si>
    <t xml:space="preserve">Priority
Score</t>
  </si>
  <si>
    <t xml:space="preserve">Cash
Feasible</t>
  </si>
  <si>
    <t xml:space="preserve">Priority
Rank</t>
  </si>
  <si>
    <t xml:space="preserve">BLUE = your inputs   |   BLACK = calculated   |   ✓ = paydown fits available cash   |   ✗ = need more cash   |   — = account already optimized</t>
  </si>
  <si>
    <t xml:space="preserve">Target thresholds:  &gt;50% util → target 49%   |   &gt;30% util → target 29%   |   &gt;9% util → target 9%   |   Priority Score = utilization × paydown needed</t>
  </si>
  <si>
    <t xml:space="preserve">⚠  Recommendations are based only on data entered above. Unknown factors — collections, reporting errors, disputed items, accounts not included, or payment timing — not visible in manual input may change or delay actual score movement. Complete the DISCOVERY tab before acting on this output.</t>
  </si>
  <si>
    <t xml:space="preserve">RECOMMENDED ACTION  (referenced by TODAY'S MOVE tab)</t>
  </si>
  <si>
    <t xml:space="preserve">Paydown Amount</t>
  </si>
  <si>
    <t xml:space="preserve">Current Util %</t>
  </si>
  <si>
    <t xml:space="preserve">Target Util %</t>
  </si>
  <si>
    <t xml:space="preserve">LeVrage  ────▲─────      DISCOVERY ENGINE</t>
  </si>
  <si>
    <t xml:space="preserve">Complete this before running the ENGINE. In mortgage, the most thorough intake is always the fastest close — because nothing surfaces at the wrong time. Same rule applies here: unknown factors that show up after the recommendation invalidate the output and cost you time. More complete input = higher confidence output.</t>
  </si>
  <si>
    <t xml:space="preserve">SECTION 1 — KNOWN UNKNOWNS  (Factors That Can Override or Delay the Engine)</t>
  </si>
  <si>
    <t xml:space="preserve">Question</t>
  </si>
  <si>
    <t xml:space="preserve">Your Answer (overwrite)</t>
  </si>
  <si>
    <t xml:space="preserve">Why It Matters</t>
  </si>
  <si>
    <t xml:space="preserve">Do you have any accounts in collections?</t>
  </si>
  <si>
    <t xml:space="preserve">Yes / No / Not Sure</t>
  </si>
  <si>
    <t xml:space="preserve">Collections suppress your score regardless of utilization improvements. Must be addressed separately — utilization optimization alone won't overcome an active collection.</t>
  </si>
  <si>
    <t xml:space="preserve">Any late payments in the last 12 months?</t>
  </si>
  <si>
    <t xml:space="preserve">Recent lates are the #1 score suppressor. The engine cannot fix a reported 30-day late — it must age out (12–24 months) or be successfully disputed.</t>
  </si>
  <si>
    <t xml:space="preserve">Any disputed items on your credit report?</t>
  </si>
  <si>
    <t xml:space="preserve">Active disputes freeze the account's scoring impact. Resolve disputes before optimizing utilization around those accounts.</t>
  </si>
  <si>
    <t xml:space="preserve">Any charge-offs or settled accounts?</t>
  </si>
  <si>
    <t xml:space="preserve">Long-term score weight. Cannot be fixed by utilization reduction alone. Flag for v2 dispute/resolution module.</t>
  </si>
  <si>
    <t xml:space="preserve">Any accounts you don't recognize on your report?</t>
  </si>
  <si>
    <t xml:space="preserve">Possible reporting error or identity issue. FCRA Section 611 dispute — creditor has 30 days to verify or it must be removed.</t>
  </si>
  <si>
    <t xml:space="preserve">Do you know your statement closing dates for each card?</t>
  </si>
  <si>
    <t xml:space="preserve">Statement closing date (not due date) is when your balance gets reported to the bureaus. Paying before closing date changes the reported number. This becomes v2 — Timing Intelligence Engine.</t>
  </si>
  <si>
    <t xml:space="preserve">Any authorized user accounts on your report?</t>
  </si>
  <si>
    <t xml:space="preserve">Authorized user accounts still count toward your utilization score. Include all of them on the ENGINE tab, even if the card belongs to someone else.</t>
  </si>
  <si>
    <t xml:space="preserve">Any accounts opened in the last 6 months?</t>
  </si>
  <si>
    <t xml:space="preserve">New accounts lower your average account age. Not an immediate blocker for utilization optimization, but factors into long-term sequencing.</t>
  </si>
  <si>
    <t xml:space="preserve">Do you know which bureau your target lender pulls?</t>
  </si>
  <si>
    <t xml:space="preserve">Mortgage lenders use FICO 2/4/5. Most card issuers use FICO 8. The score you see on your bank app is likely not the same score a lender sees. (v2 feature: lender-specific score mapping.)</t>
  </si>
  <si>
    <t xml:space="preserve">SECTION 2 — ACCOUNT INVENTORY  (What to Include on the ENGINE Tab)</t>
  </si>
  <si>
    <t xml:space="preserve">Account Type</t>
  </si>
  <si>
    <t xml:space="preserve">Include in ENGINE?</t>
  </si>
  <si>
    <t xml:space="preserve">Notes</t>
  </si>
  <si>
    <t xml:space="preserve">Credit cards (revolving)</t>
  </si>
  <si>
    <t xml:space="preserve">YES — always</t>
  </si>
  <si>
    <t xml:space="preserve">Core input. Include every revolving account.</t>
  </si>
  <si>
    <t xml:space="preserve">Store cards (revolving)</t>
  </si>
  <si>
    <t xml:space="preserve">YES — if active</t>
  </si>
  <si>
    <t xml:space="preserve">Often overlooked, often high utilization.</t>
  </si>
  <si>
    <t xml:space="preserve">Charge cards (no preset limit)</t>
  </si>
  <si>
    <t xml:space="preserve">YES — include balance + credit line</t>
  </si>
  <si>
    <t xml:space="preserve">Include if you know the limit — some bureaus report a limit.</t>
  </si>
  <si>
    <t xml:space="preserve">Personal loans (installment)</t>
  </si>
  <si>
    <t xml:space="preserve">No — v1 only</t>
  </si>
  <si>
    <t xml:space="preserve">Installment debt doesn't affect revolving utilization. v2 module.</t>
  </si>
  <si>
    <t xml:space="preserve">Auto loans</t>
  </si>
  <si>
    <t xml:space="preserve">Same — not a revolving utilization factor for v1.</t>
  </si>
  <si>
    <t xml:space="preserve">Mortgage</t>
  </si>
  <si>
    <t xml:space="preserve">Separate debt category. Not in revolving util calculation.</t>
  </si>
  <si>
    <t xml:space="preserve">Authorized user accounts</t>
  </si>
  <si>
    <t xml:space="preserve">YES — if on your report</t>
  </si>
  <si>
    <t xml:space="preserve">Count toward YOUR utilization score even if it's not your card.</t>
  </si>
  <si>
    <t xml:space="preserve">Collections / charge-offs</t>
  </si>
  <si>
    <t xml:space="preserve">No — flag in Section 1 above</t>
  </si>
  <si>
    <t xml:space="preserve">Not an ENGINE input. Requires separate dispute/resolution path.</t>
  </si>
  <si>
    <t xml:space="preserve">LeVrage v1 focuses on revolving utilization — the fastest lever available without new income or new accounts. Unknown derogatories, timing optimization, installment debt velocity, and lender-specific score mapping are v2 modules. Output quality scales directly with data completeness.</t>
  </si>
</sst>
</file>

<file path=xl/styles.xml><?xml version="1.0" encoding="utf-8"?>
<styleSheet xmlns="http://schemas.openxmlformats.org/spreadsheetml/2006/main">
  <numFmts count="5">
    <numFmt numFmtId="164" formatCode="General"/>
    <numFmt numFmtId="165" formatCode="0%"/>
    <numFmt numFmtId="166" formatCode="0.0%"/>
    <numFmt numFmtId="167" formatCode="\$#,##0"/>
    <numFmt numFmtId="168" formatCode="#,##0.0"/>
  </numFmts>
  <fonts count="26">
    <font>
      <sz val="11"/>
      <color theme="1"/>
      <name val="Calibri"/>
      <family val="2"/>
      <charset val="1"/>
    </font>
    <font>
      <sz val="10"/>
      <name val="Arial"/>
      <family val="0"/>
    </font>
    <font>
      <sz val="10"/>
      <name val="Arial"/>
      <family val="0"/>
    </font>
    <font>
      <sz val="10"/>
      <name val="Arial"/>
      <family val="0"/>
    </font>
    <font>
      <b val="true"/>
      <sz val="26"/>
      <color rgb="FFFFFFFF"/>
      <name val="Arial"/>
      <family val="0"/>
      <charset val="1"/>
    </font>
    <font>
      <b val="true"/>
      <sz val="10"/>
      <color rgb="FF888888"/>
      <name val="Arial"/>
      <family val="0"/>
      <charset val="1"/>
    </font>
    <font>
      <b val="true"/>
      <sz val="20"/>
      <color rgb="FF2C2C2C"/>
      <name val="Arial"/>
      <family val="0"/>
      <charset val="1"/>
    </font>
    <font>
      <b val="true"/>
      <sz val="9"/>
      <color rgb="FF888888"/>
      <name val="Arial"/>
      <family val="0"/>
      <charset val="1"/>
    </font>
    <font>
      <sz val="10"/>
      <color rgb="FF666666"/>
      <name val="Arial"/>
      <family val="0"/>
      <charset val="1"/>
    </font>
    <font>
      <b val="true"/>
      <sz val="10"/>
      <name val="Arial"/>
      <family val="0"/>
      <charset val="1"/>
    </font>
    <font>
      <b val="true"/>
      <sz val="10"/>
      <color rgb="FFCC2200"/>
      <name val="Arial"/>
      <family val="0"/>
      <charset val="1"/>
    </font>
    <font>
      <b val="true"/>
      <sz val="10"/>
      <color rgb="FF00AA44"/>
      <name val="Arial"/>
      <family val="0"/>
      <charset val="1"/>
    </font>
    <font>
      <b val="true"/>
      <sz val="10"/>
      <color rgb="FF0070C0"/>
      <name val="Arial"/>
      <family val="0"/>
      <charset val="1"/>
    </font>
    <font>
      <i val="true"/>
      <sz val="9"/>
      <color rgb="FF666666"/>
      <name val="Arial"/>
      <family val="0"/>
      <charset val="1"/>
    </font>
    <font>
      <i val="true"/>
      <sz val="8"/>
      <color rgb="FFAAAAAA"/>
      <name val="Arial"/>
      <family val="0"/>
      <charset val="1"/>
    </font>
    <font>
      <b val="true"/>
      <sz val="14"/>
      <color rgb="FFFFFFFF"/>
      <name val="Arial"/>
      <family val="0"/>
      <charset val="1"/>
    </font>
    <font>
      <i val="true"/>
      <sz val="9"/>
      <color rgb="FF888888"/>
      <name val="Arial"/>
      <family val="0"/>
      <charset val="1"/>
    </font>
    <font>
      <b val="true"/>
      <sz val="9"/>
      <color rgb="FFFFFFFF"/>
      <name val="Arial"/>
      <family val="0"/>
      <charset val="1"/>
    </font>
    <font>
      <sz val="10"/>
      <color rgb="FF000000"/>
      <name val="Arial"/>
      <family val="0"/>
      <charset val="1"/>
    </font>
    <font>
      <b val="true"/>
      <sz val="12"/>
      <name val="Arial"/>
      <family val="0"/>
      <charset val="1"/>
    </font>
    <font>
      <i val="true"/>
      <sz val="9"/>
      <color rgb="FFCC2200"/>
      <name val="Arial"/>
      <family val="0"/>
      <charset val="1"/>
    </font>
    <font>
      <b val="true"/>
      <sz val="9"/>
      <color rgb="FF666666"/>
      <name val="Arial"/>
      <family val="0"/>
      <charset val="1"/>
    </font>
    <font>
      <b val="true"/>
      <sz val="10"/>
      <color rgb="FF2C2C2C"/>
      <name val="Arial"/>
      <family val="0"/>
      <charset val="1"/>
    </font>
    <font>
      <i val="true"/>
      <sz val="10"/>
      <color rgb="FF444444"/>
      <name val="Arial"/>
      <family val="0"/>
      <charset val="1"/>
    </font>
    <font>
      <b val="true"/>
      <sz val="10"/>
      <color rgb="FFFFFFFF"/>
      <name val="Arial"/>
      <family val="0"/>
      <charset val="1"/>
    </font>
    <font>
      <sz val="10"/>
      <name val="Arial"/>
      <family val="0"/>
      <charset val="1"/>
    </font>
  </fonts>
  <fills count="7">
    <fill>
      <patternFill patternType="none"/>
    </fill>
    <fill>
      <patternFill patternType="gray125"/>
    </fill>
    <fill>
      <patternFill patternType="solid">
        <fgColor rgb="FF2C2C2C"/>
        <bgColor rgb="FF444444"/>
      </patternFill>
    </fill>
    <fill>
      <patternFill patternType="solid">
        <fgColor rgb="FFFFF8E7"/>
        <bgColor rgb="FFFFFFFF"/>
      </patternFill>
    </fill>
    <fill>
      <patternFill patternType="solid">
        <fgColor rgb="FFEBF3FB"/>
        <bgColor rgb="FFFFF8E7"/>
      </patternFill>
    </fill>
    <fill>
      <patternFill patternType="solid">
        <fgColor rgb="FF444444"/>
        <bgColor rgb="FF2C2C2C"/>
      </patternFill>
    </fill>
    <fill>
      <patternFill patternType="solid">
        <fgColor rgb="FF666666"/>
        <bgColor rgb="FF888888"/>
      </patternFill>
    </fill>
  </fills>
  <borders count="3">
    <border diagonalUp="false" diagonalDown="false">
      <left/>
      <right/>
      <top/>
      <bottom/>
      <diagonal/>
    </border>
    <border diagonalUp="false" diagonalDown="false">
      <left style="medium">
        <color rgb="FFC8A96E"/>
      </left>
      <right/>
      <top style="medium">
        <color rgb="FFC8A96E"/>
      </top>
      <bottom style="medium">
        <color rgb="FFC8A96E"/>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5" fontId="10" fillId="0" borderId="0" xfId="0" applyFont="true" applyBorder="true" applyAlignment="true" applyProtection="false">
      <alignment horizontal="right" vertical="center" textRotation="0" wrapText="false" indent="0" shrinkToFit="false"/>
      <protection locked="true" hidden="false"/>
    </xf>
    <xf numFmtId="165" fontId="11" fillId="0" borderId="0" xfId="0" applyFont="true" applyBorder="true" applyAlignment="true" applyProtection="false">
      <alignment horizontal="right" vertical="center" textRotation="0" wrapText="false" indent="0" shrinkToFit="false"/>
      <protection locked="true" hidden="false"/>
    </xf>
    <xf numFmtId="166" fontId="9" fillId="0" borderId="0" xfId="0" applyFont="true" applyBorder="true" applyAlignment="true" applyProtection="false">
      <alignment horizontal="right" vertical="center" textRotation="0" wrapText="false" indent="0" shrinkToFit="false"/>
      <protection locked="true" hidden="false"/>
    </xf>
    <xf numFmtId="167" fontId="12" fillId="0" borderId="0"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7" fontId="12" fillId="4" borderId="2" xfId="0" applyFont="true" applyBorder="true" applyAlignment="true" applyProtection="false">
      <alignment horizontal="right"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false" indent="0" shrinkToFit="false"/>
      <protection locked="true" hidden="false"/>
    </xf>
    <xf numFmtId="164" fontId="17" fillId="5"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false" indent="0" shrinkToFit="false"/>
      <protection locked="true" hidden="false"/>
    </xf>
    <xf numFmtId="165" fontId="18" fillId="0" borderId="2" xfId="0" applyFont="true" applyBorder="true" applyAlignment="true" applyProtection="false">
      <alignment horizontal="right" vertical="center" textRotation="0" wrapText="false" indent="0" shrinkToFit="false"/>
      <protection locked="true" hidden="false"/>
    </xf>
    <xf numFmtId="167" fontId="18" fillId="0" borderId="2" xfId="0" applyFont="true" applyBorder="true" applyAlignment="true" applyProtection="false">
      <alignment horizontal="right" vertical="center" textRotation="0" wrapText="false" indent="0" shrinkToFit="false"/>
      <protection locked="true" hidden="false"/>
    </xf>
    <xf numFmtId="168" fontId="18" fillId="0" borderId="2" xfId="0" applyFont="true" applyBorder="true" applyAlignment="true" applyProtection="false">
      <alignment horizontal="right"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center" vertical="center" textRotation="0" wrapText="tru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64" fontId="21" fillId="0" borderId="2" xfId="0" applyFont="true" applyBorder="true" applyAlignment="true" applyProtection="false">
      <alignment horizontal="left" vertical="center" textRotation="0" wrapText="false" indent="0" shrinkToFit="false"/>
      <protection locked="true" hidden="false"/>
    </xf>
    <xf numFmtId="164" fontId="22" fillId="0" borderId="2"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7" fontId="22" fillId="0" borderId="2" xfId="0" applyFont="true" applyBorder="true" applyAlignment="true" applyProtection="false">
      <alignment horizontal="left" vertical="center" textRotation="0" wrapText="false" indent="0" shrinkToFit="false"/>
      <protection locked="true" hidden="false"/>
    </xf>
    <xf numFmtId="165" fontId="22" fillId="0" borderId="2"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24" fillId="5" borderId="0" xfId="0" applyFont="true" applyBorder="true" applyAlignment="true" applyProtection="false">
      <alignment horizontal="left" vertical="center" textRotation="0" wrapText="false" indent="0" shrinkToFit="false"/>
      <protection locked="true" hidden="false"/>
    </xf>
    <xf numFmtId="164" fontId="17" fillId="6" borderId="2" xfId="0" applyFont="true" applyBorder="true" applyAlignment="true" applyProtection="false">
      <alignment horizontal="center" vertical="center" textRotation="0" wrapText="false" indent="0" shrinkToFit="false"/>
      <protection locked="true" hidden="false"/>
    </xf>
    <xf numFmtId="164" fontId="25" fillId="0"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FF8E7"/>
      <rgbColor rgb="FFEBF3FB"/>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C8A96E"/>
      <rgbColor rgb="FF3366FF"/>
      <rgbColor rgb="FF33CCCC"/>
      <rgbColor rgb="FF99CC00"/>
      <rgbColor rgb="FFFFCC00"/>
      <rgbColor rgb="FFFF9900"/>
      <rgbColor rgb="FFFF6600"/>
      <rgbColor rgb="FF666666"/>
      <rgbColor rgb="FFAAAAAA"/>
      <rgbColor rgb="FF003366"/>
      <rgbColor rgb="FF00AA44"/>
      <rgbColor rgb="FF003300"/>
      <rgbColor rgb="FF444444"/>
      <rgbColor rgb="FFCC2200"/>
      <rgbColor rgb="FF993366"/>
      <rgbColor rgb="FF333399"/>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8"/>
    <col collapsed="false" customWidth="true" hidden="false" outlineLevel="0" max="4" min="4" style="0" width="22"/>
    <col collapsed="false" customWidth="true" hidden="false" outlineLevel="0" max="5" min="5" style="0" width="3"/>
  </cols>
  <sheetData>
    <row r="1" customFormat="false" ht="7.5" hidden="false" customHeight="true" outlineLevel="0" collapsed="false"/>
    <row r="2" customFormat="false" ht="45.75" hidden="false" customHeight="true" outlineLevel="0" collapsed="false">
      <c r="B2" s="1" t="s">
        <v>0</v>
      </c>
      <c r="C2" s="1"/>
      <c r="D2" s="1"/>
    </row>
    <row r="3" customFormat="false" ht="7.5" hidden="false" customHeight="true" outlineLevel="0" collapsed="false"/>
    <row r="4" customFormat="false" ht="18" hidden="false" customHeight="true" outlineLevel="0" collapsed="false">
      <c r="B4" s="2" t="s">
        <v>1</v>
      </c>
      <c r="C4" s="2"/>
      <c r="D4" s="2"/>
    </row>
    <row r="5" customFormat="false" ht="78" hidden="false" customHeight="true" outlineLevel="0" collapsed="false">
      <c r="B5" s="3" t="str">
        <f aca="false">IF(COUNTA(ENGINE!A5:A14)=0,"→  Enter account data on the ENGINE tab",IF(ENGINE!B21="","No feasible move with current cash — increase cash on ENGINE tab","PAY  $"&amp;TEXT(ENGINE!B22,"#,##0")&amp;"  →  "&amp;ENGINE!B21))</f>
        <v>→  Enter account data on the ENGINE tab</v>
      </c>
      <c r="C5" s="3"/>
      <c r="D5" s="3"/>
    </row>
    <row r="6" customFormat="false" ht="18" hidden="false" customHeight="true" outlineLevel="0" collapsed="false">
      <c r="B6" s="4" t="s">
        <v>2</v>
      </c>
      <c r="C6" s="4"/>
      <c r="D6" s="4"/>
    </row>
    <row r="7" customFormat="false" ht="25.5" hidden="false" customHeight="true" outlineLevel="0" collapsed="false">
      <c r="B7" s="5" t="s">
        <v>3</v>
      </c>
      <c r="C7" s="6" t="str">
        <f aca="false">IFERROR(ENGINE!B21,"")</f>
        <v/>
      </c>
      <c r="D7" s="6"/>
    </row>
    <row r="8" customFormat="false" ht="25.5" hidden="false" customHeight="true" outlineLevel="0" collapsed="false">
      <c r="B8" s="5" t="s">
        <v>4</v>
      </c>
      <c r="C8" s="7" t="str">
        <f aca="false">IFERROR(ENGINE!B23,"")</f>
        <v/>
      </c>
      <c r="D8" s="7"/>
    </row>
    <row r="9" customFormat="false" ht="25.5" hidden="false" customHeight="true" outlineLevel="0" collapsed="false">
      <c r="B9" s="5" t="s">
        <v>5</v>
      </c>
      <c r="C9" s="8" t="str">
        <f aca="false">IFERROR(ENGINE!B24,"")</f>
        <v/>
      </c>
      <c r="D9" s="8"/>
    </row>
    <row r="10" customFormat="false" ht="12" hidden="false" customHeight="true" outlineLevel="0" collapsed="false"/>
    <row r="11" customFormat="false" ht="18" hidden="false" customHeight="true" outlineLevel="0" collapsed="false">
      <c r="B11" s="4" t="s">
        <v>6</v>
      </c>
      <c r="C11" s="4"/>
      <c r="D11" s="4"/>
    </row>
    <row r="12" customFormat="false" ht="25.5" hidden="false" customHeight="true" outlineLevel="0" collapsed="false">
      <c r="B12" s="5" t="s">
        <v>7</v>
      </c>
      <c r="C12" s="9" t="str">
        <f aca="false">IFERROR(SUMPRODUCT((ENGINE!B5:B14&lt;&gt;"")*ENGINE!B5:B14)/SUMPRODUCT((ENGINE!C5:C14&lt;&gt;"")*ENGINE!C5:C14),"")</f>
        <v/>
      </c>
      <c r="D12" s="9"/>
    </row>
    <row r="13" customFormat="false" ht="25.5" hidden="false" customHeight="true" outlineLevel="0" collapsed="false">
      <c r="B13" s="5" t="s">
        <v>8</v>
      </c>
      <c r="C13" s="6" t="n">
        <f aca="false">COUNTIF(ENGINE!D5:D14,"&gt;0.5")</f>
        <v>0</v>
      </c>
      <c r="D13" s="6"/>
    </row>
    <row r="14" customFormat="false" ht="25.5" hidden="false" customHeight="true" outlineLevel="0" collapsed="false">
      <c r="B14" s="5" t="s">
        <v>9</v>
      </c>
      <c r="C14" s="10" t="n">
        <f aca="false">ENGINE!B2</f>
        <v>500</v>
      </c>
      <c r="D14" s="10"/>
    </row>
    <row r="15" customFormat="false" ht="12" hidden="false" customHeight="true" outlineLevel="0" collapsed="false"/>
    <row r="16" customFormat="false" ht="18" hidden="false" customHeight="true" outlineLevel="0" collapsed="false">
      <c r="B16" s="4" t="s">
        <v>10</v>
      </c>
      <c r="C16" s="4"/>
      <c r="D16" s="4"/>
    </row>
    <row r="17" customFormat="false" ht="39.75" hidden="false" customHeight="true" outlineLevel="0" collapsed="false">
      <c r="B17" s="11" t="str">
        <f aca="false">IF(COUNTA(ENGINE!A5:A14)=0,"No data entered — go to ENGINE tab","Data for "&amp;COUNTA(ENGINE!A5:A14)&amp;" account(s). Check DISCOVERY tab for unknown factors before acting on this output.")</f>
        <v>No data entered — go to ENGINE tab</v>
      </c>
      <c r="C17" s="11"/>
      <c r="D17" s="11"/>
    </row>
    <row r="18" customFormat="false" ht="39.75" hidden="false" customHeight="true" outlineLevel="0" collapsed="false">
      <c r="B18" s="12" t="s">
        <v>11</v>
      </c>
      <c r="C18" s="12"/>
      <c r="D18" s="12"/>
    </row>
    <row r="19" customFormat="false" ht="7.5" hidden="false" customHeight="true" outlineLevel="0" collapsed="false"/>
  </sheetData>
  <mergeCells count="14">
    <mergeCell ref="B2:D2"/>
    <mergeCell ref="B4:D4"/>
    <mergeCell ref="B5:D5"/>
    <mergeCell ref="B6:D6"/>
    <mergeCell ref="C7:D7"/>
    <mergeCell ref="C8:D8"/>
    <mergeCell ref="C9:D9"/>
    <mergeCell ref="B11:D11"/>
    <mergeCell ref="C12:D12"/>
    <mergeCell ref="C13:D13"/>
    <mergeCell ref="C14:D14"/>
    <mergeCell ref="B16:D16"/>
    <mergeCell ref="B17:D17"/>
    <mergeCell ref="B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3" min="2" style="0" width="14"/>
    <col collapsed="false" customWidth="true" hidden="false" outlineLevel="0" max="4" min="4" style="0" width="12"/>
    <col collapsed="false" customWidth="true" hidden="false" outlineLevel="0" max="5" min="5" style="0" width="11"/>
    <col collapsed="false" customWidth="true" hidden="false" outlineLevel="0" max="6" min="6" style="0" width="16"/>
    <col collapsed="false" customWidth="true" hidden="false" outlineLevel="0" max="7" min="7" style="0" width="14"/>
    <col collapsed="false" customWidth="true" hidden="false" outlineLevel="0" max="8" min="8" style="0" width="13"/>
    <col collapsed="false" customWidth="true" hidden="false" outlineLevel="0" max="9" min="9" style="0" width="11"/>
  </cols>
  <sheetData>
    <row r="1" customFormat="false" ht="39.75" hidden="false" customHeight="true" outlineLevel="0" collapsed="false">
      <c r="A1" s="13" t="s">
        <v>12</v>
      </c>
      <c r="B1" s="13"/>
      <c r="C1" s="13"/>
      <c r="D1" s="13"/>
      <c r="E1" s="13"/>
      <c r="F1" s="13"/>
      <c r="G1" s="13"/>
      <c r="H1" s="13"/>
      <c r="I1" s="13"/>
    </row>
    <row r="2" customFormat="false" ht="31.5" hidden="false" customHeight="true" outlineLevel="0" collapsed="false">
      <c r="A2" s="14" t="s">
        <v>13</v>
      </c>
      <c r="B2" s="15" t="n">
        <v>500</v>
      </c>
      <c r="C2" s="16" t="s">
        <v>14</v>
      </c>
      <c r="D2" s="16"/>
      <c r="E2" s="16"/>
      <c r="F2" s="16"/>
      <c r="G2" s="16"/>
      <c r="H2" s="16"/>
      <c r="I2" s="16"/>
    </row>
    <row r="3" customFormat="false" ht="7.5" hidden="false" customHeight="true" outlineLevel="0" collapsed="false"/>
    <row r="4" customFormat="false" ht="42" hidden="false" customHeight="true" outlineLevel="0" collapsed="false">
      <c r="A4" s="17" t="s">
        <v>15</v>
      </c>
      <c r="B4" s="17" t="s">
        <v>16</v>
      </c>
      <c r="C4" s="17" t="s">
        <v>17</v>
      </c>
      <c r="D4" s="17" t="s">
        <v>18</v>
      </c>
      <c r="E4" s="17" t="s">
        <v>19</v>
      </c>
      <c r="F4" s="17" t="s">
        <v>20</v>
      </c>
      <c r="G4" s="17" t="s">
        <v>21</v>
      </c>
      <c r="H4" s="17" t="s">
        <v>22</v>
      </c>
      <c r="I4" s="17" t="s">
        <v>23</v>
      </c>
    </row>
    <row r="5" customFormat="false" ht="25.5" hidden="false" customHeight="true" outlineLevel="0" collapsed="false">
      <c r="A5" s="18"/>
      <c r="B5" s="15"/>
      <c r="C5" s="15"/>
      <c r="D5" s="19" t="str">
        <f aca="false">IF(AND(B5&lt;&gt;"",C5&lt;&gt;"",C5&gt;0),B5/C5,"")</f>
        <v/>
      </c>
      <c r="E5" s="19" t="str">
        <f aca="false">IF(D5="","",IF(D5&gt;0.5,0.49,IF(D5&gt;0.3,0.29,IF(D5&gt;0.09,0.09,D5))))</f>
        <v/>
      </c>
      <c r="F5" s="20" t="str">
        <f aca="false">IF(D5="","",MAX(0,B5-(C5*E5)))</f>
        <v/>
      </c>
      <c r="G5" s="21" t="str">
        <f aca="false">IF(D5="","",IF(F5=0,0,D5*F5))</f>
        <v/>
      </c>
      <c r="H5" s="22" t="str">
        <f aca="false">IF(F5="","",IF(F5=0,"—",IF(F5&lt;=$B$2,"✓","✗")))</f>
        <v/>
      </c>
      <c r="I5" s="23" t="str">
        <f aca="false">IF(G5="","",IF(G5=0,"—",RANK(G5,G$5:G$14,0)))</f>
        <v/>
      </c>
    </row>
    <row r="6" customFormat="false" ht="25.5" hidden="false" customHeight="true" outlineLevel="0" collapsed="false">
      <c r="A6" s="18"/>
      <c r="B6" s="15"/>
      <c r="C6" s="15"/>
      <c r="D6" s="19" t="str">
        <f aca="false">IF(AND(B6&lt;&gt;"",C6&lt;&gt;"",C6&gt;0),B6/C6,"")</f>
        <v/>
      </c>
      <c r="E6" s="19" t="str">
        <f aca="false">IF(D6="","",IF(D6&gt;0.5,0.49,IF(D6&gt;0.3,0.29,IF(D6&gt;0.09,0.09,D6))))</f>
        <v/>
      </c>
      <c r="F6" s="20" t="str">
        <f aca="false">IF(D6="","",MAX(0,B6-(C6*E6)))</f>
        <v/>
      </c>
      <c r="G6" s="21" t="str">
        <f aca="false">IF(D6="","",IF(F6=0,0,D6*F6))</f>
        <v/>
      </c>
      <c r="H6" s="22" t="str">
        <f aca="false">IF(F6="","",IF(F6=0,"—",IF(F6&lt;=$B$2,"✓","✗")))</f>
        <v/>
      </c>
      <c r="I6" s="23" t="str">
        <f aca="false">IF(G6="","",IF(G6=0,"—",RANK(G6,G$5:G$14,0)))</f>
        <v/>
      </c>
    </row>
    <row r="7" customFormat="false" ht="25.5" hidden="false" customHeight="true" outlineLevel="0" collapsed="false">
      <c r="A7" s="18"/>
      <c r="B7" s="15"/>
      <c r="C7" s="15"/>
      <c r="D7" s="19" t="str">
        <f aca="false">IF(AND(B7&lt;&gt;"",C7&lt;&gt;"",C7&gt;0),B7/C7,"")</f>
        <v/>
      </c>
      <c r="E7" s="19" t="str">
        <f aca="false">IF(D7="","",IF(D7&gt;0.5,0.49,IF(D7&gt;0.3,0.29,IF(D7&gt;0.09,0.09,D7))))</f>
        <v/>
      </c>
      <c r="F7" s="20" t="str">
        <f aca="false">IF(D7="","",MAX(0,B7-(C7*E7)))</f>
        <v/>
      </c>
      <c r="G7" s="21" t="str">
        <f aca="false">IF(D7="","",IF(F7=0,0,D7*F7))</f>
        <v/>
      </c>
      <c r="H7" s="22" t="str">
        <f aca="false">IF(F7="","",IF(F7=0,"—",IF(F7&lt;=$B$2,"✓","✗")))</f>
        <v/>
      </c>
      <c r="I7" s="23" t="str">
        <f aca="false">IF(G7="","",IF(G7=0,"—",RANK(G7,G$5:G$14,0)))</f>
        <v/>
      </c>
    </row>
    <row r="8" customFormat="false" ht="25.5" hidden="false" customHeight="true" outlineLevel="0" collapsed="false">
      <c r="A8" s="18"/>
      <c r="B8" s="15"/>
      <c r="C8" s="15"/>
      <c r="D8" s="19" t="str">
        <f aca="false">IF(AND(B8&lt;&gt;"",C8&lt;&gt;"",C8&gt;0),B8/C8,"")</f>
        <v/>
      </c>
      <c r="E8" s="19" t="str">
        <f aca="false">IF(D8="","",IF(D8&gt;0.5,0.49,IF(D8&gt;0.3,0.29,IF(D8&gt;0.09,0.09,D8))))</f>
        <v/>
      </c>
      <c r="F8" s="20" t="str">
        <f aca="false">IF(D8="","",MAX(0,B8-(C8*E8)))</f>
        <v/>
      </c>
      <c r="G8" s="21" t="str">
        <f aca="false">IF(D8="","",IF(F8=0,0,D8*F8))</f>
        <v/>
      </c>
      <c r="H8" s="22" t="str">
        <f aca="false">IF(F8="","",IF(F8=0,"—",IF(F8&lt;=$B$2,"✓","✗")))</f>
        <v/>
      </c>
      <c r="I8" s="23" t="str">
        <f aca="false">IF(G8="","",IF(G8=0,"—",RANK(G8,G$5:G$14,0)))</f>
        <v/>
      </c>
    </row>
    <row r="9" customFormat="false" ht="25.5" hidden="false" customHeight="true" outlineLevel="0" collapsed="false">
      <c r="A9" s="18"/>
      <c r="B9" s="15"/>
      <c r="C9" s="15"/>
      <c r="D9" s="19" t="str">
        <f aca="false">IF(AND(B9&lt;&gt;"",C9&lt;&gt;"",C9&gt;0),B9/C9,"")</f>
        <v/>
      </c>
      <c r="E9" s="19" t="str">
        <f aca="false">IF(D9="","",IF(D9&gt;0.5,0.49,IF(D9&gt;0.3,0.29,IF(D9&gt;0.09,0.09,D9))))</f>
        <v/>
      </c>
      <c r="F9" s="20" t="str">
        <f aca="false">IF(D9="","",MAX(0,B9-(C9*E9)))</f>
        <v/>
      </c>
      <c r="G9" s="21" t="str">
        <f aca="false">IF(D9="","",IF(F9=0,0,D9*F9))</f>
        <v/>
      </c>
      <c r="H9" s="22" t="str">
        <f aca="false">IF(F9="","",IF(F9=0,"—",IF(F9&lt;=$B$2,"✓","✗")))</f>
        <v/>
      </c>
      <c r="I9" s="23" t="str">
        <f aca="false">IF(G9="","",IF(G9=0,"—",RANK(G9,G$5:G$14,0)))</f>
        <v/>
      </c>
    </row>
    <row r="10" customFormat="false" ht="25.5" hidden="false" customHeight="true" outlineLevel="0" collapsed="false">
      <c r="A10" s="18"/>
      <c r="B10" s="15"/>
      <c r="C10" s="15"/>
      <c r="D10" s="19" t="str">
        <f aca="false">IF(AND(B10&lt;&gt;"",C10&lt;&gt;"",C10&gt;0),B10/C10,"")</f>
        <v/>
      </c>
      <c r="E10" s="19" t="str">
        <f aca="false">IF(D10="","",IF(D10&gt;0.5,0.49,IF(D10&gt;0.3,0.29,IF(D10&gt;0.09,0.09,D10))))</f>
        <v/>
      </c>
      <c r="F10" s="20" t="str">
        <f aca="false">IF(D10="","",MAX(0,B10-(C10*E10)))</f>
        <v/>
      </c>
      <c r="G10" s="21" t="str">
        <f aca="false">IF(D10="","",IF(F10=0,0,D10*F10))</f>
        <v/>
      </c>
      <c r="H10" s="22" t="str">
        <f aca="false">IF(F10="","",IF(F10=0,"—",IF(F10&lt;=$B$2,"✓","✗")))</f>
        <v/>
      </c>
      <c r="I10" s="23" t="str">
        <f aca="false">IF(G10="","",IF(G10=0,"—",RANK(G10,G$5:G$14,0)))</f>
        <v/>
      </c>
    </row>
    <row r="11" customFormat="false" ht="25.5" hidden="false" customHeight="true" outlineLevel="0" collapsed="false">
      <c r="A11" s="18"/>
      <c r="B11" s="15"/>
      <c r="C11" s="15"/>
      <c r="D11" s="19" t="str">
        <f aca="false">IF(AND(B11&lt;&gt;"",C11&lt;&gt;"",C11&gt;0),B11/C11,"")</f>
        <v/>
      </c>
      <c r="E11" s="19" t="str">
        <f aca="false">IF(D11="","",IF(D11&gt;0.5,0.49,IF(D11&gt;0.3,0.29,IF(D11&gt;0.09,0.09,D11))))</f>
        <v/>
      </c>
      <c r="F11" s="20" t="str">
        <f aca="false">IF(D11="","",MAX(0,B11-(C11*E11)))</f>
        <v/>
      </c>
      <c r="G11" s="21" t="str">
        <f aca="false">IF(D11="","",IF(F11=0,0,D11*F11))</f>
        <v/>
      </c>
      <c r="H11" s="22" t="str">
        <f aca="false">IF(F11="","",IF(F11=0,"—",IF(F11&lt;=$B$2,"✓","✗")))</f>
        <v/>
      </c>
      <c r="I11" s="23" t="str">
        <f aca="false">IF(G11="","",IF(G11=0,"—",RANK(G11,G$5:G$14,0)))</f>
        <v/>
      </c>
    </row>
    <row r="12" customFormat="false" ht="25.5" hidden="false" customHeight="true" outlineLevel="0" collapsed="false">
      <c r="A12" s="18"/>
      <c r="B12" s="15"/>
      <c r="C12" s="15"/>
      <c r="D12" s="19" t="str">
        <f aca="false">IF(AND(B12&lt;&gt;"",C12&lt;&gt;"",C12&gt;0),B12/C12,"")</f>
        <v/>
      </c>
      <c r="E12" s="19" t="str">
        <f aca="false">IF(D12="","",IF(D12&gt;0.5,0.49,IF(D12&gt;0.3,0.29,IF(D12&gt;0.09,0.09,D12))))</f>
        <v/>
      </c>
      <c r="F12" s="20" t="str">
        <f aca="false">IF(D12="","",MAX(0,B12-(C12*E12)))</f>
        <v/>
      </c>
      <c r="G12" s="21" t="str">
        <f aca="false">IF(D12="","",IF(F12=0,0,D12*F12))</f>
        <v/>
      </c>
      <c r="H12" s="22" t="str">
        <f aca="false">IF(F12="","",IF(F12=0,"—",IF(F12&lt;=$B$2,"✓","✗")))</f>
        <v/>
      </c>
      <c r="I12" s="23" t="str">
        <f aca="false">IF(G12="","",IF(G12=0,"—",RANK(G12,G$5:G$14,0)))</f>
        <v/>
      </c>
    </row>
    <row r="13" customFormat="false" ht="25.5" hidden="false" customHeight="true" outlineLevel="0" collapsed="false">
      <c r="A13" s="18"/>
      <c r="B13" s="15"/>
      <c r="C13" s="15"/>
      <c r="D13" s="19" t="str">
        <f aca="false">IF(AND(B13&lt;&gt;"",C13&lt;&gt;"",C13&gt;0),B13/C13,"")</f>
        <v/>
      </c>
      <c r="E13" s="19" t="str">
        <f aca="false">IF(D13="","",IF(D13&gt;0.5,0.49,IF(D13&gt;0.3,0.29,IF(D13&gt;0.09,0.09,D13))))</f>
        <v/>
      </c>
      <c r="F13" s="20" t="str">
        <f aca="false">IF(D13="","",MAX(0,B13-(C13*E13)))</f>
        <v/>
      </c>
      <c r="G13" s="21" t="str">
        <f aca="false">IF(D13="","",IF(F13=0,0,D13*F13))</f>
        <v/>
      </c>
      <c r="H13" s="22" t="str">
        <f aca="false">IF(F13="","",IF(F13=0,"—",IF(F13&lt;=$B$2,"✓","✗")))</f>
        <v/>
      </c>
      <c r="I13" s="23" t="str">
        <f aca="false">IF(G13="","",IF(G13=0,"—",RANK(G13,G$5:G$14,0)))</f>
        <v/>
      </c>
    </row>
    <row r="14" customFormat="false" ht="25.5" hidden="false" customHeight="true" outlineLevel="0" collapsed="false">
      <c r="A14" s="18"/>
      <c r="B14" s="15"/>
      <c r="C14" s="15"/>
      <c r="D14" s="19" t="str">
        <f aca="false">IF(AND(B14&lt;&gt;"",C14&lt;&gt;"",C14&gt;0),B14/C14,"")</f>
        <v/>
      </c>
      <c r="E14" s="19" t="str">
        <f aca="false">IF(D14="","",IF(D14&gt;0.5,0.49,IF(D14&gt;0.3,0.29,IF(D14&gt;0.09,0.09,D14))))</f>
        <v/>
      </c>
      <c r="F14" s="20" t="str">
        <f aca="false">IF(D14="","",MAX(0,B14-(C14*E14)))</f>
        <v/>
      </c>
      <c r="G14" s="21" t="str">
        <f aca="false">IF(D14="","",IF(F14=0,0,D14*F14))</f>
        <v/>
      </c>
      <c r="H14" s="22" t="str">
        <f aca="false">IF(F14="","",IF(F14=0,"—",IF(F14&lt;=$B$2,"✓","✗")))</f>
        <v/>
      </c>
      <c r="I14" s="23" t="str">
        <f aca="false">IF(G14="","",IF(G14=0,"—",RANK(G14,G$5:G$14,0)))</f>
        <v/>
      </c>
    </row>
    <row r="15" customFormat="false" ht="9.75" hidden="false" customHeight="true" outlineLevel="0" collapsed="false"/>
    <row r="16" customFormat="false" ht="19.5" hidden="false" customHeight="true" outlineLevel="0" collapsed="false">
      <c r="A16" s="11" t="s">
        <v>24</v>
      </c>
      <c r="B16" s="11"/>
      <c r="C16" s="11"/>
      <c r="D16" s="11"/>
      <c r="E16" s="11"/>
      <c r="F16" s="11"/>
      <c r="G16" s="11"/>
      <c r="H16" s="11"/>
      <c r="I16" s="11"/>
    </row>
    <row r="17" customFormat="false" ht="19.5" hidden="false" customHeight="true" outlineLevel="0" collapsed="false">
      <c r="A17" s="11" t="s">
        <v>25</v>
      </c>
      <c r="B17" s="11"/>
      <c r="C17" s="11"/>
      <c r="D17" s="11"/>
      <c r="E17" s="11"/>
      <c r="F17" s="11"/>
      <c r="G17" s="11"/>
      <c r="H17" s="11"/>
      <c r="I17" s="11"/>
    </row>
    <row r="18" customFormat="false" ht="36" hidden="false" customHeight="true" outlineLevel="0" collapsed="false">
      <c r="A18" s="24" t="s">
        <v>26</v>
      </c>
      <c r="B18" s="24"/>
      <c r="C18" s="24"/>
      <c r="D18" s="24"/>
      <c r="E18" s="24"/>
      <c r="F18" s="24"/>
      <c r="G18" s="24"/>
      <c r="H18" s="24"/>
      <c r="I18" s="24"/>
    </row>
    <row r="19" customFormat="false" ht="7.5" hidden="false" customHeight="true" outlineLevel="0" collapsed="false"/>
    <row r="20" customFormat="false" ht="19.5" hidden="false" customHeight="true" outlineLevel="0" collapsed="false">
      <c r="A20" s="25" t="s">
        <v>27</v>
      </c>
      <c r="B20" s="25"/>
      <c r="C20" s="25"/>
      <c r="D20" s="25"/>
      <c r="E20" s="25"/>
      <c r="F20" s="25"/>
      <c r="G20" s="25"/>
      <c r="H20" s="25"/>
      <c r="I20" s="25"/>
    </row>
    <row r="21" customFormat="false" ht="24" hidden="false" customHeight="true" outlineLevel="0" collapsed="false">
      <c r="A21" s="26" t="s">
        <v>15</v>
      </c>
      <c r="B21" s="27" t="str">
        <f aca="false">IFERROR(INDEX(A5:A14,MATCH(minifs(I5:I14,H5:H14,"✓"),I5:I14,0)),"")</f>
        <v/>
      </c>
      <c r="C21" s="28"/>
      <c r="D21" s="28"/>
      <c r="E21" s="28"/>
      <c r="F21" s="28"/>
      <c r="G21" s="28"/>
      <c r="H21" s="28"/>
      <c r="I21" s="28"/>
    </row>
    <row r="22" customFormat="false" ht="24" hidden="false" customHeight="true" outlineLevel="0" collapsed="false">
      <c r="A22" s="26" t="s">
        <v>28</v>
      </c>
      <c r="B22" s="29" t="str">
        <f aca="false">IFERROR(INDEX(F5:F14,MATCH(minifs(I5:I14,H5:H14,"✓"),I5:I14,0)),"")</f>
        <v/>
      </c>
      <c r="C22" s="28"/>
      <c r="D22" s="28"/>
      <c r="E22" s="28"/>
      <c r="F22" s="28"/>
      <c r="G22" s="28"/>
      <c r="H22" s="28"/>
      <c r="I22" s="28"/>
    </row>
    <row r="23" customFormat="false" ht="24" hidden="false" customHeight="true" outlineLevel="0" collapsed="false">
      <c r="A23" s="26" t="s">
        <v>29</v>
      </c>
      <c r="B23" s="30" t="str">
        <f aca="false">IFERROR(INDEX(D5:D14,MATCH(minifs(I5:I14,H5:H14,"✓"),I5:I14,0)),"")</f>
        <v/>
      </c>
      <c r="C23" s="28"/>
      <c r="D23" s="28"/>
      <c r="E23" s="28"/>
      <c r="F23" s="28"/>
      <c r="G23" s="28"/>
      <c r="H23" s="28"/>
      <c r="I23" s="28"/>
    </row>
    <row r="24" customFormat="false" ht="24" hidden="false" customHeight="true" outlineLevel="0" collapsed="false">
      <c r="A24" s="26" t="s">
        <v>30</v>
      </c>
      <c r="B24" s="30" t="str">
        <f aca="false">IFERROR(INDEX(E5:E14,MATCH(minifs(I5:I14,H5:H14,"✓"),I5:I14,0)),"")</f>
        <v/>
      </c>
      <c r="C24" s="28"/>
      <c r="D24" s="28"/>
      <c r="E24" s="28"/>
      <c r="F24" s="28"/>
      <c r="G24" s="28"/>
      <c r="H24" s="28"/>
      <c r="I24" s="28"/>
    </row>
  </sheetData>
  <mergeCells count="10">
    <mergeCell ref="A1:I1"/>
    <mergeCell ref="C2:I2"/>
    <mergeCell ref="A16:I16"/>
    <mergeCell ref="A17:I17"/>
    <mergeCell ref="A18:I18"/>
    <mergeCell ref="A20:I20"/>
    <mergeCell ref="C21:I21"/>
    <mergeCell ref="C22:I22"/>
    <mergeCell ref="C23:I23"/>
    <mergeCell ref="C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3" min="3" style="0" width="18"/>
    <col collapsed="false" customWidth="true" hidden="false" outlineLevel="0" max="4" min="4" style="0" width="34"/>
    <col collapsed="false" customWidth="true" hidden="false" outlineLevel="0" max="5" min="5" style="0" width="3"/>
  </cols>
  <sheetData>
    <row r="1" customFormat="false" ht="39.75" hidden="false" customHeight="true" outlineLevel="0" collapsed="false">
      <c r="B1" s="13" t="s">
        <v>31</v>
      </c>
      <c r="C1" s="13"/>
      <c r="D1" s="13"/>
    </row>
    <row r="2" customFormat="false" ht="9.75" hidden="false" customHeight="true" outlineLevel="0" collapsed="false"/>
    <row r="3" customFormat="false" ht="43.5" hidden="false" customHeight="true" outlineLevel="0" collapsed="false">
      <c r="B3" s="31" t="s">
        <v>32</v>
      </c>
      <c r="C3" s="31"/>
      <c r="D3" s="31"/>
    </row>
    <row r="4" customFormat="false" ht="27.75" hidden="false" customHeight="true" outlineLevel="0" collapsed="false">
      <c r="B4" s="32" t="s">
        <v>33</v>
      </c>
      <c r="C4" s="32"/>
      <c r="D4" s="32"/>
    </row>
    <row r="5" customFormat="false" ht="21.75" hidden="false" customHeight="true" outlineLevel="0" collapsed="false">
      <c r="B5" s="33" t="s">
        <v>34</v>
      </c>
      <c r="C5" s="33" t="s">
        <v>35</v>
      </c>
      <c r="D5" s="33" t="s">
        <v>36</v>
      </c>
    </row>
    <row r="6" customFormat="false" ht="39.75" hidden="false" customHeight="true" outlineLevel="0" collapsed="false">
      <c r="B6" s="34" t="s">
        <v>37</v>
      </c>
      <c r="C6" s="35" t="s">
        <v>38</v>
      </c>
      <c r="D6" s="36" t="s">
        <v>39</v>
      </c>
    </row>
    <row r="7" customFormat="false" ht="39.75" hidden="false" customHeight="true" outlineLevel="0" collapsed="false">
      <c r="B7" s="34" t="s">
        <v>40</v>
      </c>
      <c r="C7" s="35" t="s">
        <v>38</v>
      </c>
      <c r="D7" s="36" t="s">
        <v>41</v>
      </c>
    </row>
    <row r="8" customFormat="false" ht="39.75" hidden="false" customHeight="true" outlineLevel="0" collapsed="false">
      <c r="B8" s="34" t="s">
        <v>42</v>
      </c>
      <c r="C8" s="35" t="s">
        <v>38</v>
      </c>
      <c r="D8" s="36" t="s">
        <v>43</v>
      </c>
    </row>
    <row r="9" customFormat="false" ht="39.75" hidden="false" customHeight="true" outlineLevel="0" collapsed="false">
      <c r="B9" s="34" t="s">
        <v>44</v>
      </c>
      <c r="C9" s="35" t="s">
        <v>38</v>
      </c>
      <c r="D9" s="36" t="s">
        <v>45</v>
      </c>
    </row>
    <row r="10" customFormat="false" ht="39.75" hidden="false" customHeight="true" outlineLevel="0" collapsed="false">
      <c r="B10" s="34" t="s">
        <v>46</v>
      </c>
      <c r="C10" s="35" t="s">
        <v>38</v>
      </c>
      <c r="D10" s="36" t="s">
        <v>47</v>
      </c>
    </row>
    <row r="11" customFormat="false" ht="39.75" hidden="false" customHeight="true" outlineLevel="0" collapsed="false">
      <c r="B11" s="34" t="s">
        <v>48</v>
      </c>
      <c r="C11" s="35" t="s">
        <v>38</v>
      </c>
      <c r="D11" s="36" t="s">
        <v>49</v>
      </c>
    </row>
    <row r="12" customFormat="false" ht="39.75" hidden="false" customHeight="true" outlineLevel="0" collapsed="false">
      <c r="B12" s="34" t="s">
        <v>50</v>
      </c>
      <c r="C12" s="35" t="s">
        <v>38</v>
      </c>
      <c r="D12" s="36" t="s">
        <v>51</v>
      </c>
    </row>
    <row r="13" customFormat="false" ht="39.75" hidden="false" customHeight="true" outlineLevel="0" collapsed="false">
      <c r="B13" s="34" t="s">
        <v>52</v>
      </c>
      <c r="C13" s="35" t="s">
        <v>38</v>
      </c>
      <c r="D13" s="36" t="s">
        <v>53</v>
      </c>
    </row>
    <row r="14" customFormat="false" ht="39.75" hidden="false" customHeight="true" outlineLevel="0" collapsed="false">
      <c r="B14" s="34" t="s">
        <v>54</v>
      </c>
      <c r="C14" s="35" t="s">
        <v>38</v>
      </c>
      <c r="D14" s="36" t="s">
        <v>55</v>
      </c>
    </row>
    <row r="15" customFormat="false" ht="9.75" hidden="false" customHeight="true" outlineLevel="0" collapsed="false"/>
    <row r="16" customFormat="false" ht="27.75" hidden="false" customHeight="true" outlineLevel="0" collapsed="false">
      <c r="B16" s="32" t="s">
        <v>56</v>
      </c>
      <c r="C16" s="32"/>
      <c r="D16" s="32"/>
    </row>
    <row r="17" customFormat="false" ht="21.75" hidden="false" customHeight="true" outlineLevel="0" collapsed="false">
      <c r="B17" s="33" t="s">
        <v>57</v>
      </c>
      <c r="C17" s="33" t="s">
        <v>58</v>
      </c>
      <c r="D17" s="33" t="s">
        <v>59</v>
      </c>
    </row>
    <row r="18" customFormat="false" ht="30" hidden="false" customHeight="true" outlineLevel="0" collapsed="false">
      <c r="B18" s="34" t="s">
        <v>60</v>
      </c>
      <c r="C18" s="37" t="s">
        <v>61</v>
      </c>
      <c r="D18" s="36" t="s">
        <v>62</v>
      </c>
    </row>
    <row r="19" customFormat="false" ht="30" hidden="false" customHeight="true" outlineLevel="0" collapsed="false">
      <c r="B19" s="34" t="s">
        <v>63</v>
      </c>
      <c r="C19" s="37" t="s">
        <v>64</v>
      </c>
      <c r="D19" s="36" t="s">
        <v>65</v>
      </c>
    </row>
    <row r="20" customFormat="false" ht="30" hidden="false" customHeight="true" outlineLevel="0" collapsed="false">
      <c r="B20" s="34" t="s">
        <v>66</v>
      </c>
      <c r="C20" s="37" t="s">
        <v>67</v>
      </c>
      <c r="D20" s="36" t="s">
        <v>68</v>
      </c>
    </row>
    <row r="21" customFormat="false" ht="30" hidden="false" customHeight="true" outlineLevel="0" collapsed="false">
      <c r="B21" s="34" t="s">
        <v>69</v>
      </c>
      <c r="C21" s="38" t="s">
        <v>70</v>
      </c>
      <c r="D21" s="36" t="s">
        <v>71</v>
      </c>
    </row>
    <row r="22" customFormat="false" ht="30" hidden="false" customHeight="true" outlineLevel="0" collapsed="false">
      <c r="B22" s="34" t="s">
        <v>72</v>
      </c>
      <c r="C22" s="38" t="s">
        <v>70</v>
      </c>
      <c r="D22" s="36" t="s">
        <v>73</v>
      </c>
    </row>
    <row r="23" customFormat="false" ht="30" hidden="false" customHeight="true" outlineLevel="0" collapsed="false">
      <c r="B23" s="34" t="s">
        <v>74</v>
      </c>
      <c r="C23" s="38" t="s">
        <v>70</v>
      </c>
      <c r="D23" s="36" t="s">
        <v>75</v>
      </c>
    </row>
    <row r="24" customFormat="false" ht="30" hidden="false" customHeight="true" outlineLevel="0" collapsed="false">
      <c r="B24" s="34" t="s">
        <v>76</v>
      </c>
      <c r="C24" s="37" t="s">
        <v>77</v>
      </c>
      <c r="D24" s="36" t="s">
        <v>78</v>
      </c>
    </row>
    <row r="25" customFormat="false" ht="30" hidden="false" customHeight="true" outlineLevel="0" collapsed="false">
      <c r="B25" s="34" t="s">
        <v>79</v>
      </c>
      <c r="C25" s="38" t="s">
        <v>80</v>
      </c>
      <c r="D25" s="36" t="s">
        <v>81</v>
      </c>
    </row>
    <row r="26" customFormat="false" ht="9.75" hidden="false" customHeight="true" outlineLevel="0" collapsed="false"/>
    <row r="27" customFormat="false" ht="43.5" hidden="false" customHeight="true" outlineLevel="0" collapsed="false">
      <c r="B27" s="39" t="s">
        <v>82</v>
      </c>
      <c r="C27" s="39"/>
      <c r="D27" s="39"/>
    </row>
  </sheetData>
  <mergeCells count="5">
    <mergeCell ref="B1:D1"/>
    <mergeCell ref="B3:D3"/>
    <mergeCell ref="B4:D4"/>
    <mergeCell ref="B16:D16"/>
    <mergeCell ref="B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2026-04-02T06:28:45Z</dcterms:created>
  <dc:creator>openpyxl</dc:creator>
  <dc:description/>
  <dc:language>en-US</dc:language>
  <cp:lastModifiedBy/>
  <dcterms:modified xsi:type="dcterms:W3CDTF">2026-04-02T06:28:45Z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